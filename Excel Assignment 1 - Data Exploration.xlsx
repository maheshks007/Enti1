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b552c14910f0b1c/Desktop/Entri App/"/>
    </mc:Choice>
  </mc:AlternateContent>
  <xr:revisionPtr revIDLastSave="101" documentId="11_AE6035745C5AC9D6C759A76D5D31450AFDAE85B8" xr6:coauthVersionLast="47" xr6:coauthVersionMax="47" xr10:uidLastSave="{A1544529-75DE-40A0-9F3D-BA45579AEF8B}"/>
  <bookViews>
    <workbookView xWindow="-120" yWindow="-120" windowWidth="20730" windowHeight="11040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Dataset!$A$1:$K$35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H2" i="2" l="1"/>
  <c r="B40" i="2"/>
  <c r="B45" i="2"/>
  <c r="B41" i="2"/>
  <c r="B39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B50" i="2"/>
  <c r="B49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B44" i="2"/>
</calcChain>
</file>

<file path=xl/sharedStrings.xml><?xml version="1.0" encoding="utf-8"?>
<sst xmlns="http://schemas.openxmlformats.org/spreadsheetml/2006/main" count="171" uniqueCount="121">
  <si>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</si>
  <si>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</si>
  <si>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</si>
  <si>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</si>
  <si>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</si>
  <si>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</si>
  <si>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</si>
  <si>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</si>
  <si>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</si>
  <si>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</si>
  <si>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</si>
  <si>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</si>
  <si>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</si>
  <si>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</si>
  <si>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</si>
  <si>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</si>
  <si>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</si>
  <si>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</si>
  <si>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</si>
  <si>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</si>
  <si>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</si>
  <si>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</si>
  <si>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</si>
  <si>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</si>
  <si>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</si>
  <si>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</si>
  <si>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</si>
  <si>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</si>
  <si>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</si>
  <si>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</si>
  <si>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</si>
  <si>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</si>
  <si>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</si>
  <si>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</si>
  <si>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</si>
  <si>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</si>
  <si>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</si>
  <si>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</si>
  <si>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</si>
  <si>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</si>
  <si>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</si>
  <si>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</si>
  <si>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</si>
  <si>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</si>
  <si>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</si>
  <si>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</si>
  <si>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</si>
  <si>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</si>
  <si>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</si>
  <si>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</si>
  <si>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</si>
  <si>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</si>
  <si>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</si>
  <si>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</si>
  <si>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</si>
  <si>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</si>
  <si>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</si>
  <si>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</si>
  <si>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</si>
  <si>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</si>
  <si>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</si>
  <si>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</si>
  <si>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</si>
  <si>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</si>
  <si>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</si>
  <si>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</si>
  <si>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</si>
  <si>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</si>
  <si>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</si>
  <si>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</si>
  <si>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</si>
  <si>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</si>
  <si>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</si>
  <si>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</si>
  <si>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</si>
  <si>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</si>
  <si>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</si>
  <si>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</si>
  <si>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</si>
  <si>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</si>
  <si>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</si>
  <si>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</si>
  <si>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</si>
  <si>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</si>
  <si>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</si>
  <si>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</si>
  <si>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</si>
  <si>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</si>
  <si>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</si>
  <si>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</si>
  <si>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</si>
  <si>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</si>
  <si>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</si>
  <si>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</si>
  <si>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</si>
  <si>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</si>
  <si>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</si>
  <si>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</si>
  <si>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</si>
  <si>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</si>
  <si>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</si>
  <si>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</si>
  <si>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</si>
  <si>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</si>
  <si>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</si>
  <si>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</si>
  <si>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</si>
  <si>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</si>
  <si>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</si>
  <si>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</si>
  <si>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Total price </t>
  </si>
  <si>
    <t>Product count</t>
  </si>
  <si>
    <t>Average price</t>
  </si>
  <si>
    <t>Minimum price</t>
  </si>
  <si>
    <t>Maximum  price</t>
  </si>
  <si>
    <t xml:space="preserve">Price Range </t>
  </si>
  <si>
    <t>sumif</t>
  </si>
  <si>
    <t>products less than 100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</si>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</sst>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rgb="FF4DD0E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0" fillId="0" borderId="0" xfId="0" applyAlignment="1">
      <alignment horizontal="left"/>
    </xf>
    <xf numFmtId="44" fontId="0" fillId="0" borderId="0" xfId="1" applyFont="1" applyAlignment="1">
      <alignment horizontal="center"/>
    </xf>
    <xf numFmtId="0" fontId="8" fillId="0" borderId="0" xfId="0" applyFont="1"/>
    <xf numFmtId="0" fontId="9" fillId="4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B1" workbookViewId="0">
      <selection activeCell="B14" sqref="B14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999"/>
  <sheetViews>
    <sheetView tabSelected="1" workbookViewId="0">
      <pane ySplit="1" topLeftCell="A27" activePane="bottomLeft" state="frozen"/>
      <selection pane="bottomLeft" activeCell="N11" sqref="N11"/>
    </sheetView>
  </sheetViews>
  <sheetFormatPr defaultColWidth="12.5703125" defaultRowHeight="15" customHeight="1" x14ac:dyDescent="0.2"/>
  <cols>
    <col min="1" max="1" width="21.5703125" customWidth="1"/>
    <col min="2" max="2" width="14.5703125" customWidth="1"/>
    <col min="3" max="6" width="12.5703125" customWidth="1"/>
    <col min="8" max="8" width="13.140625" bestFit="1" customWidth="1"/>
  </cols>
  <sheetData>
    <row r="1" spans="1:11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20</v>
      </c>
      <c r="H1" s="11" t="s">
        <v>115</v>
      </c>
      <c r="I1" s="11" t="s">
        <v>118</v>
      </c>
      <c r="J1" s="11" t="s">
        <v>119</v>
      </c>
      <c r="K1" s="11" t="s">
        <v>120</v>
      </c>
    </row>
    <row r="2" spans="1:11" ht="15.75" customHeight="1" x14ac:dyDescent="0.2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6">
        <v>1000</v>
      </c>
      <c r="H2" t="str">
        <f>IF(D2&gt;=500,"High price ","Standrad price")</f>
        <v xml:space="preserve">High price </v>
      </c>
      <c r="I2" t="str">
        <f>LEFT(A2,2)</f>
        <v>28</v>
      </c>
      <c r="J2" t="str">
        <f>RIGHT(A2,2)</f>
        <v>US</v>
      </c>
      <c r="K2" t="str">
        <f>MID(A2,4,3)</f>
        <v>JAN</v>
      </c>
    </row>
    <row r="3" spans="1:11" ht="15.75" customHeight="1" x14ac:dyDescent="0.2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7">
        <v>80</v>
      </c>
      <c r="H3" t="str">
        <f t="shared" ref="H3:H35" si="0">IF(D3&gt;=500,"High price ","Standrad price")</f>
        <v>Standrad price</v>
      </c>
      <c r="I3" t="str">
        <f t="shared" ref="I3:I35" si="1">LEFT(A3,2)</f>
        <v>15</v>
      </c>
      <c r="J3" t="str">
        <f t="shared" ref="J3:J35" si="2">RIGHT(A3,2)</f>
        <v>US</v>
      </c>
      <c r="K3" t="str">
        <f t="shared" ref="K3:K35" si="3">MID(A3,4,3)</f>
        <v>FEB</v>
      </c>
    </row>
    <row r="4" spans="1:11" ht="15.75" customHeight="1" x14ac:dyDescent="0.2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6">
        <v>130</v>
      </c>
      <c r="H4" t="str">
        <f t="shared" si="0"/>
        <v>Standrad price</v>
      </c>
      <c r="I4" t="str">
        <f t="shared" si="1"/>
        <v>03</v>
      </c>
      <c r="J4" t="str">
        <f t="shared" si="2"/>
        <v>US</v>
      </c>
      <c r="K4" t="str">
        <f t="shared" si="3"/>
        <v>MAR</v>
      </c>
    </row>
    <row r="5" spans="1:11" ht="15.75" customHeight="1" x14ac:dyDescent="0.2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7">
        <v>900</v>
      </c>
      <c r="H5" t="str">
        <f t="shared" si="0"/>
        <v xml:space="preserve">High price </v>
      </c>
      <c r="I5" t="str">
        <f t="shared" si="1"/>
        <v>11</v>
      </c>
      <c r="J5" t="str">
        <f t="shared" si="2"/>
        <v>US</v>
      </c>
      <c r="K5" t="str">
        <f t="shared" si="3"/>
        <v>APR</v>
      </c>
    </row>
    <row r="6" spans="1:11" ht="15.75" customHeight="1" x14ac:dyDescent="0.2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6">
        <v>70</v>
      </c>
      <c r="H6" t="str">
        <f t="shared" si="0"/>
        <v>Standrad price</v>
      </c>
      <c r="I6" t="str">
        <f t="shared" si="1"/>
        <v>22</v>
      </c>
      <c r="J6" t="str">
        <f t="shared" si="2"/>
        <v>US</v>
      </c>
      <c r="K6" t="str">
        <f t="shared" si="3"/>
        <v>MAY</v>
      </c>
    </row>
    <row r="7" spans="1:11" ht="15.75" customHeight="1" x14ac:dyDescent="0.2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7">
        <v>200</v>
      </c>
      <c r="H7" t="str">
        <f t="shared" si="0"/>
        <v>Standrad price</v>
      </c>
      <c r="I7" t="str">
        <f t="shared" si="1"/>
        <v>07</v>
      </c>
      <c r="J7" t="str">
        <f t="shared" si="2"/>
        <v>UK</v>
      </c>
      <c r="K7" t="str">
        <f t="shared" si="3"/>
        <v>JUN</v>
      </c>
    </row>
    <row r="8" spans="1:11" ht="15.75" customHeight="1" x14ac:dyDescent="0.2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6">
        <v>30</v>
      </c>
      <c r="H8" t="str">
        <f t="shared" si="0"/>
        <v>Standrad price</v>
      </c>
      <c r="I8" t="str">
        <f t="shared" si="1"/>
        <v>19</v>
      </c>
      <c r="J8" t="str">
        <f t="shared" si="2"/>
        <v>UK</v>
      </c>
      <c r="K8" t="str">
        <f t="shared" si="3"/>
        <v>JUL</v>
      </c>
    </row>
    <row r="9" spans="1:11" ht="15.75" customHeight="1" x14ac:dyDescent="0.2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7">
        <v>90</v>
      </c>
      <c r="H9" t="str">
        <f t="shared" si="0"/>
        <v>Standrad price</v>
      </c>
      <c r="I9" t="str">
        <f t="shared" si="1"/>
        <v>23</v>
      </c>
      <c r="J9" t="str">
        <f t="shared" si="2"/>
        <v>UK</v>
      </c>
      <c r="K9" t="str">
        <f t="shared" si="3"/>
        <v>AUG</v>
      </c>
    </row>
    <row r="10" spans="1:11" ht="15.75" customHeight="1" x14ac:dyDescent="0.2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6">
        <v>500</v>
      </c>
      <c r="H10" t="str">
        <f t="shared" si="0"/>
        <v xml:space="preserve">High price </v>
      </c>
      <c r="I10" t="str">
        <f t="shared" si="1"/>
        <v>05</v>
      </c>
      <c r="J10" t="str">
        <f t="shared" si="2"/>
        <v>UK</v>
      </c>
      <c r="K10" t="str">
        <f t="shared" si="3"/>
        <v>SEP</v>
      </c>
    </row>
    <row r="11" spans="1:11" ht="15.75" customHeight="1" x14ac:dyDescent="0.2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7">
        <v>130</v>
      </c>
      <c r="H11" t="str">
        <f t="shared" si="0"/>
        <v>Standrad price</v>
      </c>
      <c r="I11" t="str">
        <f t="shared" si="1"/>
        <v>14</v>
      </c>
      <c r="J11" t="str">
        <f t="shared" si="2"/>
        <v>UK</v>
      </c>
      <c r="K11" t="str">
        <f t="shared" si="3"/>
        <v>OCT</v>
      </c>
    </row>
    <row r="12" spans="1:11" ht="15.75" customHeight="1" x14ac:dyDescent="0.2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6">
        <v>950</v>
      </c>
      <c r="H12" t="str">
        <f t="shared" si="0"/>
        <v xml:space="preserve">High price </v>
      </c>
      <c r="I12" t="str">
        <f t="shared" si="1"/>
        <v>17</v>
      </c>
      <c r="J12" t="str">
        <f t="shared" si="2"/>
        <v>IN</v>
      </c>
      <c r="K12" t="str">
        <f t="shared" si="3"/>
        <v>JUN</v>
      </c>
    </row>
    <row r="13" spans="1:11" ht="15.75" customHeight="1" x14ac:dyDescent="0.2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7">
        <v>90</v>
      </c>
      <c r="H13" t="str">
        <f t="shared" si="0"/>
        <v>Standrad price</v>
      </c>
      <c r="I13" t="str">
        <f t="shared" si="1"/>
        <v>25</v>
      </c>
      <c r="J13" t="str">
        <f t="shared" si="2"/>
        <v>AU</v>
      </c>
      <c r="K13" t="str">
        <f t="shared" si="3"/>
        <v>NOV</v>
      </c>
    </row>
    <row r="14" spans="1:11" ht="15.75" customHeight="1" x14ac:dyDescent="0.2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6">
        <v>120</v>
      </c>
      <c r="H14" t="str">
        <f t="shared" si="0"/>
        <v>Standrad price</v>
      </c>
      <c r="I14" t="str">
        <f t="shared" si="1"/>
        <v>08</v>
      </c>
      <c r="J14" t="str">
        <f t="shared" si="2"/>
        <v>DE</v>
      </c>
      <c r="K14" t="str">
        <f t="shared" si="3"/>
        <v>DEC</v>
      </c>
    </row>
    <row r="15" spans="1:11" ht="15.75" customHeight="1" x14ac:dyDescent="0.2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7">
        <v>150</v>
      </c>
      <c r="H15" t="str">
        <f t="shared" si="0"/>
        <v>Standrad price</v>
      </c>
      <c r="I15" t="str">
        <f t="shared" si="1"/>
        <v>18</v>
      </c>
      <c r="J15" t="str">
        <f t="shared" si="2"/>
        <v>CA</v>
      </c>
      <c r="K15" t="str">
        <f t="shared" si="3"/>
        <v>FEB</v>
      </c>
    </row>
    <row r="16" spans="1:11" ht="15.75" customHeight="1" x14ac:dyDescent="0.2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6">
        <v>250</v>
      </c>
      <c r="H16" t="str">
        <f t="shared" si="0"/>
        <v>Standrad price</v>
      </c>
      <c r="I16" t="str">
        <f t="shared" si="1"/>
        <v>16</v>
      </c>
      <c r="J16" t="str">
        <f t="shared" si="2"/>
        <v>ES</v>
      </c>
      <c r="K16" t="str">
        <f t="shared" si="3"/>
        <v>APR</v>
      </c>
    </row>
    <row r="17" spans="1:11" ht="15.75" customHeight="1" x14ac:dyDescent="0.2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7">
        <v>50</v>
      </c>
      <c r="H17" t="str">
        <f t="shared" si="0"/>
        <v>Standrad price</v>
      </c>
      <c r="I17" t="str">
        <f t="shared" si="1"/>
        <v>21</v>
      </c>
      <c r="J17" t="str">
        <f t="shared" si="2"/>
        <v>CA</v>
      </c>
      <c r="K17" t="str">
        <f t="shared" si="3"/>
        <v>AUG</v>
      </c>
    </row>
    <row r="18" spans="1:11" ht="15.75" customHeight="1" x14ac:dyDescent="0.2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6">
        <v>160</v>
      </c>
      <c r="H18" t="str">
        <f t="shared" si="0"/>
        <v>Standrad price</v>
      </c>
      <c r="I18" t="str">
        <f t="shared" si="1"/>
        <v>20</v>
      </c>
      <c r="J18" t="str">
        <f t="shared" si="2"/>
        <v>CN</v>
      </c>
      <c r="K18" t="str">
        <f t="shared" si="3"/>
        <v>AUG</v>
      </c>
    </row>
    <row r="19" spans="1:11" ht="15.75" customHeight="1" x14ac:dyDescent="0.2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7">
        <v>980</v>
      </c>
      <c r="H19" t="str">
        <f t="shared" si="0"/>
        <v xml:space="preserve">High price </v>
      </c>
      <c r="I19" t="str">
        <f t="shared" si="1"/>
        <v>27</v>
      </c>
      <c r="J19" t="str">
        <f t="shared" si="2"/>
        <v>IT</v>
      </c>
      <c r="K19" t="str">
        <f t="shared" si="3"/>
        <v>JAN</v>
      </c>
    </row>
    <row r="20" spans="1:11" ht="15.75" customHeight="1" x14ac:dyDescent="0.2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6">
        <v>150</v>
      </c>
      <c r="H20" t="str">
        <f t="shared" si="0"/>
        <v>Standrad price</v>
      </c>
      <c r="I20" t="str">
        <f t="shared" si="1"/>
        <v>01</v>
      </c>
      <c r="J20" t="str">
        <f t="shared" si="2"/>
        <v>UK</v>
      </c>
      <c r="K20" t="str">
        <f t="shared" si="3"/>
        <v>MAR</v>
      </c>
    </row>
    <row r="21" spans="1:11" ht="15.75" customHeight="1" x14ac:dyDescent="0.2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7">
        <v>200</v>
      </c>
      <c r="H21" t="str">
        <f t="shared" si="0"/>
        <v>Standrad price</v>
      </c>
      <c r="I21" t="str">
        <f t="shared" si="1"/>
        <v>14</v>
      </c>
      <c r="J21" t="str">
        <f t="shared" si="2"/>
        <v>US</v>
      </c>
      <c r="K21" t="str">
        <f t="shared" si="3"/>
        <v>AUG</v>
      </c>
    </row>
    <row r="22" spans="1:11" ht="15.75" customHeight="1" x14ac:dyDescent="0.2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6">
        <v>700</v>
      </c>
      <c r="H22" t="str">
        <f t="shared" si="0"/>
        <v xml:space="preserve">High price </v>
      </c>
      <c r="I22" t="str">
        <f t="shared" si="1"/>
        <v>14</v>
      </c>
      <c r="J22" t="str">
        <f t="shared" si="2"/>
        <v>RU</v>
      </c>
      <c r="K22" t="str">
        <f t="shared" si="3"/>
        <v>MAY</v>
      </c>
    </row>
    <row r="23" spans="1:11" ht="15.75" customHeight="1" x14ac:dyDescent="0.2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7">
        <v>80</v>
      </c>
      <c r="H23" t="str">
        <f t="shared" si="0"/>
        <v>Standrad price</v>
      </c>
      <c r="I23" t="str">
        <f t="shared" si="1"/>
        <v>09</v>
      </c>
      <c r="J23" t="str">
        <f t="shared" si="2"/>
        <v>CA</v>
      </c>
      <c r="K23" t="str">
        <f t="shared" si="3"/>
        <v>JAN</v>
      </c>
    </row>
    <row r="24" spans="1:11" ht="15.75" customHeight="1" x14ac:dyDescent="0.2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6">
        <v>150</v>
      </c>
      <c r="H24" t="str">
        <f t="shared" si="0"/>
        <v>Standrad price</v>
      </c>
      <c r="I24" t="str">
        <f t="shared" si="1"/>
        <v>19</v>
      </c>
      <c r="J24" t="str">
        <f t="shared" si="2"/>
        <v>BR</v>
      </c>
      <c r="K24" t="str">
        <f t="shared" si="3"/>
        <v>JUL</v>
      </c>
    </row>
    <row r="25" spans="1:11" ht="15.75" customHeight="1" x14ac:dyDescent="0.2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7">
        <v>50</v>
      </c>
      <c r="H25" t="str">
        <f t="shared" si="0"/>
        <v>Standrad price</v>
      </c>
      <c r="I25" t="str">
        <f t="shared" si="1"/>
        <v>21</v>
      </c>
      <c r="J25" t="str">
        <f t="shared" si="2"/>
        <v>CA</v>
      </c>
      <c r="K25" t="str">
        <f t="shared" si="3"/>
        <v>AUG</v>
      </c>
    </row>
    <row r="26" spans="1:11" ht="15.75" customHeight="1" x14ac:dyDescent="0.2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6">
        <v>800</v>
      </c>
      <c r="H26" t="str">
        <f t="shared" si="0"/>
        <v xml:space="preserve">High price </v>
      </c>
      <c r="I26" t="str">
        <f t="shared" si="1"/>
        <v>29</v>
      </c>
      <c r="J26" t="str">
        <f t="shared" si="2"/>
        <v>CA</v>
      </c>
      <c r="K26" t="str">
        <f t="shared" si="3"/>
        <v>SEP</v>
      </c>
    </row>
    <row r="27" spans="1:11" ht="15.75" customHeight="1" x14ac:dyDescent="0.2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7">
        <v>130</v>
      </c>
      <c r="H27" t="str">
        <f t="shared" si="0"/>
        <v>Standrad price</v>
      </c>
      <c r="I27" t="str">
        <f t="shared" si="1"/>
        <v>03</v>
      </c>
      <c r="J27" t="str">
        <f t="shared" si="2"/>
        <v>CA</v>
      </c>
      <c r="K27" t="str">
        <f t="shared" si="3"/>
        <v>JUN</v>
      </c>
    </row>
    <row r="28" spans="1:11" ht="15.75" customHeight="1" x14ac:dyDescent="0.2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6">
        <v>400</v>
      </c>
      <c r="H28" t="str">
        <f t="shared" si="0"/>
        <v>Standrad price</v>
      </c>
      <c r="I28" t="str">
        <f t="shared" si="1"/>
        <v>11</v>
      </c>
      <c r="J28" t="str">
        <f t="shared" si="2"/>
        <v>CA</v>
      </c>
      <c r="K28" t="str">
        <f t="shared" si="3"/>
        <v>JUL</v>
      </c>
    </row>
    <row r="29" spans="1:11" ht="15.75" customHeight="1" x14ac:dyDescent="0.2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7">
        <v>230</v>
      </c>
      <c r="H29" t="str">
        <f t="shared" si="0"/>
        <v>Standrad price</v>
      </c>
      <c r="I29" t="str">
        <f t="shared" si="1"/>
        <v>16</v>
      </c>
      <c r="J29" t="str">
        <f t="shared" si="2"/>
        <v>ES</v>
      </c>
      <c r="K29" t="str">
        <f t="shared" si="3"/>
        <v>APR</v>
      </c>
    </row>
    <row r="30" spans="1:11" ht="15.75" customHeight="1" x14ac:dyDescent="0.2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6">
        <v>60</v>
      </c>
      <c r="H30" t="str">
        <f t="shared" si="0"/>
        <v>Standrad price</v>
      </c>
      <c r="I30" t="str">
        <f t="shared" si="1"/>
        <v>07</v>
      </c>
      <c r="J30" t="str">
        <f t="shared" si="2"/>
        <v>CA</v>
      </c>
      <c r="K30" t="str">
        <f t="shared" si="3"/>
        <v>MAR</v>
      </c>
    </row>
    <row r="31" spans="1:11" ht="15.75" customHeight="1" x14ac:dyDescent="0.2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7">
        <v>40</v>
      </c>
      <c r="H31" t="str">
        <f t="shared" si="0"/>
        <v>Standrad price</v>
      </c>
      <c r="I31" t="str">
        <f t="shared" si="1"/>
        <v>13</v>
      </c>
      <c r="J31" t="str">
        <f t="shared" si="2"/>
        <v>CA</v>
      </c>
      <c r="K31" t="str">
        <f t="shared" si="3"/>
        <v>APR</v>
      </c>
    </row>
    <row r="32" spans="1:11" ht="15.75" customHeight="1" x14ac:dyDescent="0.2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6">
        <v>130</v>
      </c>
      <c r="H32" t="str">
        <f t="shared" si="0"/>
        <v>Standrad price</v>
      </c>
      <c r="I32" t="str">
        <f t="shared" si="1"/>
        <v>24</v>
      </c>
      <c r="J32" t="str">
        <f t="shared" si="2"/>
        <v>CA</v>
      </c>
      <c r="K32" t="str">
        <f t="shared" si="3"/>
        <v>MAY</v>
      </c>
    </row>
    <row r="33" spans="1:11" ht="15.75" customHeight="1" x14ac:dyDescent="0.2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7">
        <v>50</v>
      </c>
      <c r="H33" t="str">
        <f t="shared" si="0"/>
        <v>Standrad price</v>
      </c>
      <c r="I33" t="str">
        <f t="shared" si="1"/>
        <v>02</v>
      </c>
      <c r="J33" t="str">
        <f t="shared" si="2"/>
        <v>CA</v>
      </c>
      <c r="K33" t="str">
        <f t="shared" si="3"/>
        <v>DEC</v>
      </c>
    </row>
    <row r="34" spans="1:11" ht="15.75" customHeight="1" x14ac:dyDescent="0.2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6">
        <v>950</v>
      </c>
      <c r="H34" t="str">
        <f t="shared" si="0"/>
        <v xml:space="preserve">High price </v>
      </c>
      <c r="I34" t="str">
        <f t="shared" si="1"/>
        <v>17</v>
      </c>
      <c r="J34" t="str">
        <f t="shared" si="2"/>
        <v>IN</v>
      </c>
      <c r="K34" t="str">
        <f t="shared" si="3"/>
        <v>JUN</v>
      </c>
    </row>
    <row r="35" spans="1:11" ht="15.75" customHeight="1" x14ac:dyDescent="0.2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7">
        <v>100</v>
      </c>
      <c r="H35" t="str">
        <f t="shared" si="0"/>
        <v>Standrad price</v>
      </c>
      <c r="I35" t="str">
        <f t="shared" si="1"/>
        <v>09</v>
      </c>
      <c r="J35" t="str">
        <f t="shared" si="2"/>
        <v>FR</v>
      </c>
      <c r="K35" t="str">
        <f t="shared" si="3"/>
        <v>JUL</v>
      </c>
    </row>
    <row r="36" spans="1:11" ht="15.75" customHeight="1" x14ac:dyDescent="0.2"/>
    <row r="37" spans="1:11" ht="15.75" customHeight="1" x14ac:dyDescent="0.2"/>
    <row r="38" spans="1:11" ht="15.75" customHeight="1" x14ac:dyDescent="0.2">
      <c r="A38" s="8">
        <v>1</v>
      </c>
    </row>
    <row r="39" spans="1:11" ht="15.75" customHeight="1" x14ac:dyDescent="0.2">
      <c r="A39" t="s">
        <v>110</v>
      </c>
      <c r="B39" s="9">
        <f>SUM(D2:D35)</f>
        <v>10100</v>
      </c>
    </row>
    <row r="40" spans="1:11" ht="15.75" customHeight="1" x14ac:dyDescent="0.2">
      <c r="A40" s="10" t="s">
        <v>111</v>
      </c>
      <c r="B40">
        <f>COUNT(D2:D35)</f>
        <v>34</v>
      </c>
    </row>
    <row r="41" spans="1:11" ht="15.75" customHeight="1" x14ac:dyDescent="0.2">
      <c r="A41" s="10" t="s">
        <v>112</v>
      </c>
      <c r="B41">
        <f>AVERAGE(D2:D35)</f>
        <v>297.05882352941177</v>
      </c>
    </row>
    <row r="42" spans="1:11" ht="15.75" customHeight="1" x14ac:dyDescent="0.2"/>
    <row r="43" spans="1:11" ht="15.75" customHeight="1" x14ac:dyDescent="0.2">
      <c r="A43" s="8">
        <v>2</v>
      </c>
    </row>
    <row r="44" spans="1:11" ht="15.75" customHeight="1" x14ac:dyDescent="0.2">
      <c r="A44" s="10" t="s">
        <v>113</v>
      </c>
      <c r="B44">
        <f>MIN(D2:D35)</f>
        <v>30</v>
      </c>
    </row>
    <row r="45" spans="1:11" ht="15.75" customHeight="1" x14ac:dyDescent="0.2">
      <c r="A45" s="10" t="s">
        <v>114</v>
      </c>
      <c r="B45">
        <f>MAX(D2:D35)</f>
        <v>1000</v>
      </c>
    </row>
    <row r="46" spans="1:11" ht="15.75" customHeight="1" x14ac:dyDescent="0.2"/>
    <row r="47" spans="1:11" ht="15.75" customHeight="1" x14ac:dyDescent="0.2"/>
    <row r="48" spans="1:11" ht="15.75" customHeight="1" x14ac:dyDescent="0.2">
      <c r="A48" s="8">
        <v>4</v>
      </c>
    </row>
    <row r="49" spans="1:2" ht="15.75" customHeight="1" x14ac:dyDescent="0.2">
      <c r="A49" s="10" t="s">
        <v>116</v>
      </c>
      <c r="B49">
        <f>SUMIF(F2:F35,"Electronics",D2:D35)</f>
        <v>8050</v>
      </c>
    </row>
    <row r="50" spans="1:2" ht="15.75" customHeight="1" x14ac:dyDescent="0.2">
      <c r="A50" s="10" t="s">
        <v>117</v>
      </c>
      <c r="B50">
        <f>COUNTIF(D2:D35,"&lt;100")</f>
        <v>11</v>
      </c>
    </row>
    <row r="51" spans="1:2" ht="15.75" customHeight="1" x14ac:dyDescent="0.2"/>
    <row r="52" spans="1:2" ht="15.75" customHeight="1" x14ac:dyDescent="0.2"/>
    <row r="53" spans="1:2" ht="15.75" customHeight="1" x14ac:dyDescent="0.2"/>
    <row r="54" spans="1:2" ht="15.75" customHeight="1" x14ac:dyDescent="0.2"/>
    <row r="55" spans="1:2" ht="15.75" customHeight="1" x14ac:dyDescent="0.2"/>
    <row r="56" spans="1:2" ht="15.75" customHeight="1" x14ac:dyDescent="0.2"/>
    <row r="57" spans="1:2" ht="15.75" customHeight="1" x14ac:dyDescent="0.2"/>
    <row r="58" spans="1:2" ht="15.75" customHeight="1" x14ac:dyDescent="0.2"/>
    <row r="59" spans="1:2" ht="15.75" customHeight="1" x14ac:dyDescent="0.2"/>
    <row r="60" spans="1:2" ht="15.75" customHeight="1" x14ac:dyDescent="0.2"/>
    <row r="61" spans="1:2" ht="15.75" customHeight="1" x14ac:dyDescent="0.2"/>
    <row r="62" spans="1:2" ht="15.75" customHeight="1" x14ac:dyDescent="0.2"/>
    <row r="63" spans="1:2" ht="15.75" customHeight="1" x14ac:dyDescent="0.2"/>
    <row r="64" spans="1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Mahesh Sundaran</cp:lastModifiedBy>
  <dcterms:modified xsi:type="dcterms:W3CDTF">2026-08-19T06:41:47Z</dcterms:modified>
</cp:coreProperties>
</file>